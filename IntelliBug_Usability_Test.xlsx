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Tasks" sheetId="1" state="visible" r:id="rId3"/>
    <sheet name="SUS Questions" sheetId="2" state="visible" r:id="rId4"/>
    <sheet name="SUS Scor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<sst xmlns="http://schemas.openxmlformats.org/spreadsheetml/2006/main" count="85" uniqueCount="72">
  <si>
    <t xml:space="preserve">IntelliBug usability test: task cards</t>
  </si>
  <si>
    <t xml:space="preserve">How to run it: sit next to the tester at your own laptop with the app running on localhost. No online hosting is needed.</t>
  </si>
  <si>
    <t xml:space="preserve">Say the task out loud, then stay quiet and watch. Do not help unless they are stuck for more than 2 minutes.</t>
  </si>
  <si>
    <t xml:space="preserve">Mark Y if the tester finished the task alone, N if not. Yellow cells are the ones you fill in.</t>
  </si>
  <si>
    <t xml:space="preserve">Task</t>
  </si>
  <si>
    <t xml:space="preserve">What you tell the tester</t>
  </si>
  <si>
    <t xml:space="preserve">Success means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</si>
  <si>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</si>
  <si>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</si>
  <si>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</si>
  <si>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</si>
  <si>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</si>
  <si>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Completion rate</t>
  </si>
  <si>
    <t xml:space="preserve">1. Log in</t>
  </si>
  <si>
    <t xml:space="preserve">Sign in to IntelliBug with Google.</t>
  </si>
  <si>
    <t xml:space="preserve">Tester reaches the dashboard.</t>
  </si>
  <si>
    <t xml:space="preserve">2. Submit a bug</t>
  </si>
  <si>
    <t xml:space="preserve">Report this problem: the Login button does nothing on Safari. Fill in every field and attach a screenshot.</t>
  </si>
  <si>
    <t xml:space="preserve">Severity badge and the 3-step recommendation appear.</t>
  </si>
  <si>
    <t xml:space="preserve">3. Find and read it</t>
  </si>
  <si>
    <t xml:space="preserve">Find the bug you just reported in Bug Reports and open it. Tell me the suggested fix.</t>
  </si>
  <si>
    <t xml:space="preserve">Tester opens the bug and reads out the Suggested Fix.</t>
  </si>
  <si>
    <t xml:space="preserve">4. Update status</t>
  </si>
  <si>
    <t xml:space="preserve">Mark this bug as Resolved.</t>
  </si>
  <si>
    <t xml:space="preserve">Status badge changes to Resolved.</t>
  </si>
  <si>
    <t xml:space="preserve">Overall task success</t>
  </si>
  <si>
    <t xml:space="preserve">Example: if P1 finished Task 2 alone, type Y in the P1 cell on that row. Leave a cell empty until you have watched that person.</t>
  </si>
  <si>
    <t xml:space="preserve">System Usability Scale (SUS): paste into Google Forms</t>
  </si>
  <si>
    <t xml:space="preserve">Answer scale for every question: 1 = Strongly disagree, 2, 3, 4, 5 = Strongly agree. Use a linear scale question (1 to 5) in Google Forms.</t>
  </si>
  <si>
    <t xml:space="preserve">No.</t>
  </si>
  <si>
    <t xml:space="preserve">Question (use exactly this wording)</t>
  </si>
  <si>
    <t xml:space="preserve">Type</t>
  </si>
  <si>
    <t xml:space="preserve">I think that I would like to use IntelliBug frequently.</t>
  </si>
  <si>
    <t xml:space="preserve">Positive wording</t>
  </si>
  <si>
    <t xml:space="preserve">I found IntelliBug unnecessarily complex.</t>
  </si>
  <si>
    <t xml:space="preserve">Negative wording</t>
  </si>
  <si>
    <t xml:space="preserve">I thought IntelliBug was easy to use.</t>
  </si>
  <si>
    <t xml:space="preserve">I think that I would need the support of a technical person to be able to use IntelliBug.</t>
  </si>
  <si>
    <t xml:space="preserve">I found the various functions in IntelliBug were well integrated.</t>
  </si>
  <si>
    <t xml:space="preserve">I thought there was too much inconsistency in IntelliBug.</t>
  </si>
  <si>
    <t xml:space="preserve">I would imagine that most people would learn to use IntelliBug very quickly.</t>
  </si>
  <si>
    <t xml:space="preserve">I found IntelliBug very cumbersome to use.</t>
  </si>
  <si>
    <t xml:space="preserve">I felt very confident using IntelliBug.</t>
  </si>
  <si>
    <t xml:space="preserve">I needed to learn a lot of things before I could get going with IntelliBug.</t>
  </si>
  <si>
    <t xml:space="preserve">Optional open questions (short answer)</t>
  </si>
  <si>
    <t xml:space="preserve">What did you like most about IntelliBug?</t>
  </si>
  <si>
    <t xml:space="preserve">What was confusing or hard to use?</t>
  </si>
  <si>
    <t xml:space="preserve">Source: Brooke, J. (1996). SUS: a quick and dirty usability scale. Wording adapted by replacing 'the system' with 'IntelliBug'.</t>
  </si>
  <si>
    <t xml:space="preserve">SUS scoring: type each tester's 1 to 5 answers</t>
  </si>
  <si>
    <t xml:space="preserve">Yellow cells are for you. The SUS score fills in by itself once all 10 answers are in. The grey EXAMPLE row is not counted.</t>
  </si>
  <si>
    <t xml:space="preserve">Tester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</si>
  <si>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</si>
  <si>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</si>
  <si>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</si>
  <si>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</si>
  <si>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</si>
  <si>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</si>
  <si>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</si>
  <si>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</si>
  <si>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</si>
  <si>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</si>
  <si>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SUS score (0 to 100)</t>
  </si>
  <si>
    <t xml:space="preserve">EXAMPLE (not counted)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</si>
  <si>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</si>
  <si>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</si>
  <si>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</si>
  <si>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</si>
  <si>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</si>
  <si>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Testers scored</t>
  </si>
  <si>
    <t xml:space="preserve">Average SUS score</t>
  </si>
  <si>
    <t xml:space="preserve">Result</t>
  </si>
  <si>
    <t xml:space="preserve">How the score works: odd questions score (answer - 1), even questions score (5 - answer). Add them all up and multiply by 2.5. A score of 68 is the commonly cited average (Sauro and Lewis).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</si>
</sst>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6E4E37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6E4E37"/>
        <bgColor rgb="FF993366"/>
      </patternFill>
    </fill>
    <fill>
      <patternFill patternType="solid">
        <fgColor rgb="FFFFFF00"/>
        <bgColor rgb="FFFFFF00"/>
      </patternFill>
    </fill>
    <fill>
      <patternFill patternType="solid">
        <fgColor rgb="FFEEEEE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6E4E37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2"/>
    <col collapsed="false" customWidth="true" hidden="false" outlineLevel="0" max="3" min="3" style="0" width="42"/>
    <col collapsed="false" customWidth="true" hidden="false" outlineLevel="0" max="8" min="4" style="0" width="7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1" t="s">
        <v>0</v>
      </c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1.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31.5" hidden="false" customHeight="true" outlineLevel="0" collapsed="false">
      <c r="A4" s="2" t="s">
        <v>3</v>
      </c>
      <c r="B4" s="2"/>
      <c r="C4" s="2"/>
      <c r="D4" s="2"/>
      <c r="E4" s="2"/>
      <c r="F4" s="2"/>
      <c r="G4" s="2"/>
      <c r="H4" s="2"/>
    </row>
    <row r="6" customFormat="false" ht="26.85" hidden="false" customHeight="false" outlineLevel="0" collapsed="false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</row>
    <row r="7" customFormat="false" ht="48" hidden="false" customHeight="true" outlineLevel="0" collapsed="false">
      <c r="A7" s="4" t="s">
        <v>13</v>
      </c>
      <c r="B7" s="5" t="s">
        <v>14</v>
      </c>
      <c r="C7" s="5" t="s">
        <v>15</v>
      </c>
      <c r="D7" s="6"/>
      <c r="E7" s="6"/>
      <c r="F7" s="6"/>
      <c r="G7" s="6"/>
      <c r="H7" s="6"/>
      <c r="I7" s="7" t="str">
        <f aca="false">IFERROR(COUNTIF(D7:H7,"Y")/COUNTA(D7:H7),"")</f>
        <v/>
      </c>
    </row>
    <row r="8" customFormat="false" ht="48" hidden="false" customHeight="true" outlineLevel="0" collapsed="false">
      <c r="A8" s="4" t="s">
        <v>16</v>
      </c>
      <c r="B8" s="5" t="s">
        <v>17</v>
      </c>
      <c r="C8" s="5" t="s">
        <v>18</v>
      </c>
      <c r="D8" s="6"/>
      <c r="E8" s="6"/>
      <c r="F8" s="6"/>
      <c r="G8" s="6"/>
      <c r="H8" s="6"/>
      <c r="I8" s="7" t="str">
        <f aca="false">IFERROR(COUNTIF(D8:H8,"Y")/COUNTA(D8:H8),"")</f>
        <v/>
      </c>
    </row>
    <row r="9" customFormat="false" ht="48" hidden="false" customHeight="true" outlineLevel="0" collapsed="false">
      <c r="A9" s="4" t="s">
        <v>19</v>
      </c>
      <c r="B9" s="5" t="s">
        <v>20</v>
      </c>
      <c r="C9" s="5" t="s">
        <v>21</v>
      </c>
      <c r="D9" s="6"/>
      <c r="E9" s="6"/>
      <c r="F9" s="6"/>
      <c r="G9" s="6"/>
      <c r="H9" s="6"/>
      <c r="I9" s="7" t="str">
        <f aca="false">IFERROR(COUNTIF(D9:H9,"Y")/COUNTA(D9:H9),"")</f>
        <v/>
      </c>
    </row>
    <row r="10" customFormat="false" ht="48" hidden="false" customHeight="true" outlineLevel="0" collapsed="false">
      <c r="A10" s="4" t="s">
        <v>22</v>
      </c>
      <c r="B10" s="5" t="s">
        <v>23</v>
      </c>
      <c r="C10" s="5" t="s">
        <v>24</v>
      </c>
      <c r="D10" s="6"/>
      <c r="E10" s="6"/>
      <c r="F10" s="6"/>
      <c r="G10" s="6"/>
      <c r="H10" s="6"/>
      <c r="I10" s="7" t="str">
        <f aca="false">IFERROR(COUNTIF(D10:H10,"Y")/COUNTA(D10:H10),"")</f>
        <v/>
      </c>
    </row>
    <row r="11" customFormat="false" ht="15" hidden="false" customHeight="false" outlineLevel="0" collapsed="false">
      <c r="A11" s="8" t="s">
        <v>25</v>
      </c>
      <c r="I11" s="9" t="str">
        <f aca="false">IFERROR(COUNTIF(D7:H10,"Y")/COUNTA(D7:H10),"")</f>
        <v/>
      </c>
    </row>
    <row r="13" customFormat="false" ht="31.5" hidden="false" customHeight="true" outlineLevel="0" collapsed="false">
      <c r="A13" s="2" t="s">
        <v>26</v>
      </c>
      <c r="B13" s="2"/>
      <c r="C13" s="2"/>
      <c r="D13" s="2"/>
      <c r="E13" s="2"/>
      <c r="F13" s="2"/>
      <c r="G13" s="2"/>
      <c r="H13" s="2"/>
      <c r="I13" s="2"/>
    </row>
  </sheetData>
  <mergeCells count="4">
    <mergeCell ref="A2:H2"/>
    <mergeCell ref="A3:H3"/>
    <mergeCell ref="A4:H4"/>
    <mergeCell ref="A13:I13"/>
  </mergeCells>
  <dataValidations count="1">
    <dataValidation allowBlank="true" errorStyle="stop" operator="between" showDropDown="false" showErrorMessage="false" showInputMessage="false" sqref="D7:H1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80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" t="s">
        <v>27</v>
      </c>
    </row>
    <row r="2" customFormat="false" ht="31.5" hidden="false" customHeight="true" outlineLevel="0" collapsed="false">
      <c r="A2" s="2" t="s">
        <v>28</v>
      </c>
      <c r="B2" s="2"/>
      <c r="C2" s="2"/>
    </row>
    <row r="4" customFormat="false" ht="15" hidden="false" customHeight="false" outlineLevel="0" collapsed="false">
      <c r="A4" s="3" t="s">
        <v>29</v>
      </c>
      <c r="B4" s="3" t="s">
        <v>30</v>
      </c>
      <c r="C4" s="3" t="s">
        <v>31</v>
      </c>
    </row>
    <row r="5" customFormat="false" ht="31.5" hidden="false" customHeight="true" outlineLevel="0" collapsed="false">
      <c r="A5" s="4" t="n">
        <v>1</v>
      </c>
      <c r="B5" s="5" t="s">
        <v>32</v>
      </c>
      <c r="C5" s="5" t="s">
        <v>33</v>
      </c>
    </row>
    <row r="6" customFormat="false" ht="31.5" hidden="false" customHeight="true" outlineLevel="0" collapsed="false">
      <c r="A6" s="4" t="n">
        <v>2</v>
      </c>
      <c r="B6" s="5" t="s">
        <v>34</v>
      </c>
      <c r="C6" s="5" t="s">
        <v>35</v>
      </c>
    </row>
    <row r="7" customFormat="false" ht="31.5" hidden="false" customHeight="true" outlineLevel="0" collapsed="false">
      <c r="A7" s="4" t="n">
        <v>3</v>
      </c>
      <c r="B7" s="5" t="s">
        <v>36</v>
      </c>
      <c r="C7" s="5" t="s">
        <v>33</v>
      </c>
    </row>
    <row r="8" customFormat="false" ht="31.5" hidden="false" customHeight="true" outlineLevel="0" collapsed="false">
      <c r="A8" s="4" t="n">
        <v>4</v>
      </c>
      <c r="B8" s="5" t="s">
        <v>37</v>
      </c>
      <c r="C8" s="5" t="s">
        <v>35</v>
      </c>
    </row>
    <row r="9" customFormat="false" ht="31.5" hidden="false" customHeight="true" outlineLevel="0" collapsed="false">
      <c r="A9" s="4" t="n">
        <v>5</v>
      </c>
      <c r="B9" s="5" t="s">
        <v>38</v>
      </c>
      <c r="C9" s="5" t="s">
        <v>33</v>
      </c>
    </row>
    <row r="10" customFormat="false" ht="31.5" hidden="false" customHeight="true" outlineLevel="0" collapsed="false">
      <c r="A10" s="4" t="n">
        <v>6</v>
      </c>
      <c r="B10" s="5" t="s">
        <v>39</v>
      </c>
      <c r="C10" s="5" t="s">
        <v>35</v>
      </c>
    </row>
    <row r="11" customFormat="false" ht="31.5" hidden="false" customHeight="true" outlineLevel="0" collapsed="false">
      <c r="A11" s="4" t="n">
        <v>7</v>
      </c>
      <c r="B11" s="5" t="s">
        <v>40</v>
      </c>
      <c r="C11" s="5" t="s">
        <v>33</v>
      </c>
    </row>
    <row r="12" customFormat="false" ht="31.5" hidden="false" customHeight="true" outlineLevel="0" collapsed="false">
      <c r="A12" s="4" t="n">
        <v>8</v>
      </c>
      <c r="B12" s="5" t="s">
        <v>41</v>
      </c>
      <c r="C12" s="5" t="s">
        <v>35</v>
      </c>
    </row>
    <row r="13" customFormat="false" ht="31.5" hidden="false" customHeight="true" outlineLevel="0" collapsed="false">
      <c r="A13" s="4" t="n">
        <v>9</v>
      </c>
      <c r="B13" s="5" t="s">
        <v>42</v>
      </c>
      <c r="C13" s="5" t="s">
        <v>33</v>
      </c>
    </row>
    <row r="14" customFormat="false" ht="31.5" hidden="false" customHeight="true" outlineLevel="0" collapsed="false">
      <c r="A14" s="4" t="n">
        <v>10</v>
      </c>
      <c r="B14" s="5" t="s">
        <v>43</v>
      </c>
      <c r="C14" s="5" t="s">
        <v>35</v>
      </c>
    </row>
    <row r="16" customFormat="false" ht="15" hidden="false" customHeight="false" outlineLevel="0" collapsed="false">
      <c r="A16" s="8" t="s">
        <v>44</v>
      </c>
    </row>
    <row r="17" customFormat="false" ht="15" hidden="false" customHeight="false" outlineLevel="0" collapsed="false">
      <c r="B17" s="10" t="s">
        <v>45</v>
      </c>
    </row>
    <row r="18" customFormat="false" ht="15" hidden="false" customHeight="false" outlineLevel="0" collapsed="false">
      <c r="B18" s="10" t="s">
        <v>46</v>
      </c>
    </row>
    <row r="20" customFormat="false" ht="31.5" hidden="false" customHeight="true" outlineLevel="0" collapsed="false">
      <c r="A20" s="2" t="s">
        <v>47</v>
      </c>
      <c r="B20" s="2"/>
      <c r="C20" s="2"/>
    </row>
  </sheetData>
  <mergeCells count="2">
    <mergeCell ref="A2:C2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1" min="2" style="0" width="6"/>
    <col collapsed="false" customWidth="true" hidden="false" outlineLevel="0" max="12" min="12" style="0" width="22"/>
  </cols>
  <sheetData>
    <row r="1" customFormat="false" ht="17.35" hidden="false" customHeight="false" outlineLevel="0" collapsed="false">
      <c r="A1" s="1" t="s">
        <v>48</v>
      </c>
    </row>
    <row r="2" customFormat="false" ht="31.5" hidden="false" customHeight="true" outlineLevel="0" collapsed="false">
      <c r="A2" s="2" t="s">
        <v>49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3" t="s">
        <v>50</v>
      </c>
      <c r="B4" s="3" t="s">
        <v>51</v>
      </c>
      <c r="C4" s="3" t="s">
        <v>52</v>
      </c>
      <c r="D4" s="3" t="s">
        <v>53</v>
      </c>
      <c r="E4" s="3" t="s">
        <v>54</v>
      </c>
      <c r="F4" s="3" t="s">
        <v>55</v>
      </c>
      <c r="G4" s="3" t="s">
        <v>56</v>
      </c>
      <c r="H4" s="3" t="s">
        <v>57</v>
      </c>
      <c r="I4" s="3" t="s">
        <v>58</v>
      </c>
      <c r="J4" s="3" t="s">
        <v>59</v>
      </c>
      <c r="K4" s="3" t="s">
        <v>60</v>
      </c>
      <c r="L4" s="3" t="s">
        <v>61</v>
      </c>
    </row>
    <row r="5" customFormat="false" ht="15" hidden="false" customHeight="false" outlineLevel="0" collapsed="false">
      <c r="A5" s="11" t="s">
        <v>62</v>
      </c>
      <c r="B5" s="12" t="n">
        <v>4</v>
      </c>
      <c r="C5" s="12" t="n">
        <v>2</v>
      </c>
      <c r="D5" s="12" t="n">
        <v>4</v>
      </c>
      <c r="E5" s="12" t="n">
        <v>1</v>
      </c>
      <c r="F5" s="12" t="n">
        <v>4</v>
      </c>
      <c r="G5" s="12" t="n">
        <v>2</v>
      </c>
      <c r="H5" s="12" t="n">
        <v>5</v>
      </c>
      <c r="I5" s="12" t="n">
        <v>1</v>
      </c>
      <c r="J5" s="12" t="n">
        <v>4</v>
      </c>
      <c r="K5" s="12" t="n">
        <v>2</v>
      </c>
      <c r="L5" s="13" t="n">
        <f aca="false">IF(COUNT(B5:K5)=10,((B5+D5+F5+H5+J5-5)+(25-(C5+E5+G5+I5+K5)))*2.5,"")</f>
        <v>82.5</v>
      </c>
    </row>
    <row r="6" customFormat="false" ht="15" hidden="false" customHeight="false" outlineLevel="0" collapsed="false">
      <c r="A6" s="14" t="s">
        <v>7</v>
      </c>
      <c r="B6" s="6"/>
      <c r="C6" s="6"/>
      <c r="D6" s="6"/>
      <c r="E6" s="6"/>
      <c r="F6" s="6"/>
      <c r="G6" s="6"/>
      <c r="H6" s="6"/>
      <c r="I6" s="6"/>
      <c r="J6" s="6"/>
      <c r="K6" s="6"/>
      <c r="L6" s="15" t="str">
        <f aca="false">IF(COUNT(B6:K6)=10,((B6+D6+F6+H6+J6-5)+(25-(C6+E6+G6+I6+K6)))*2.5,"")</f>
        <v/>
      </c>
    </row>
    <row r="7" customFormat="false" ht="15" hidden="false" customHeight="false" outlineLevel="0" collapsed="false">
      <c r="A7" s="14" t="s">
        <v>8</v>
      </c>
      <c r="B7" s="6"/>
      <c r="C7" s="6"/>
      <c r="D7" s="6"/>
      <c r="E7" s="6"/>
      <c r="F7" s="6"/>
      <c r="G7" s="6"/>
      <c r="H7" s="6"/>
      <c r="I7" s="6"/>
      <c r="J7" s="6"/>
      <c r="K7" s="6"/>
      <c r="L7" s="15" t="str">
        <f aca="false">IF(COUNT(B7:K7)=10,((B7+D7+F7+H7+J7-5)+(25-(C7+E7+G7+I7+K7)))*2.5,"")</f>
        <v/>
      </c>
    </row>
    <row r="8" customFormat="false" ht="15" hidden="false" customHeight="false" outlineLevel="0" collapsed="false">
      <c r="A8" s="14" t="s">
        <v>9</v>
      </c>
      <c r="B8" s="6"/>
      <c r="C8" s="6"/>
      <c r="D8" s="6"/>
      <c r="E8" s="6"/>
      <c r="F8" s="6"/>
      <c r="G8" s="6"/>
      <c r="H8" s="6"/>
      <c r="I8" s="6"/>
      <c r="J8" s="6"/>
      <c r="K8" s="6"/>
      <c r="L8" s="15" t="str">
        <f aca="false">IF(COUNT(B8:K8)=10,((B8+D8+F8+H8+J8-5)+(25-(C8+E8+G8+I8+K8)))*2.5,"")</f>
        <v/>
      </c>
    </row>
    <row r="9" customFormat="false" ht="15" hidden="false" customHeight="false" outlineLevel="0" collapsed="false">
      <c r="A9" s="14" t="s">
        <v>10</v>
      </c>
      <c r="B9" s="6"/>
      <c r="C9" s="6"/>
      <c r="D9" s="6"/>
      <c r="E9" s="6"/>
      <c r="F9" s="6"/>
      <c r="G9" s="6"/>
      <c r="H9" s="6"/>
      <c r="I9" s="6"/>
      <c r="J9" s="6"/>
      <c r="K9" s="6"/>
      <c r="L9" s="15" t="str">
        <f aca="false">IF(COUNT(B9:K9)=10,((B9+D9+F9+H9+J9-5)+(25-(C9+E9+G9+I9+K9)))*2.5,"")</f>
        <v/>
      </c>
    </row>
    <row r="10" customFormat="false" ht="15" hidden="false" customHeight="false" outlineLevel="0" collapsed="false">
      <c r="A10" s="14" t="s">
        <v>11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15" t="str">
        <f aca="false">IF(COUNT(B10:K10)=10,((B10+D10+F10+H10+J10-5)+(25-(C10+E10+G10+I10+K10)))*2.5,"")</f>
        <v/>
      </c>
    </row>
    <row r="11" customFormat="false" ht="15" hidden="false" customHeight="false" outlineLevel="0" collapsed="false">
      <c r="A11" s="14" t="s">
        <v>63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15" t="str">
        <f aca="false">IF(COUNT(B11:K11)=10,((B11+D11+F11+H11+J11-5)+(25-(C11+E11+G11+I11+K11)))*2.5,"")</f>
        <v/>
      </c>
    </row>
    <row r="12" customFormat="false" ht="15" hidden="false" customHeight="false" outlineLevel="0" collapsed="false">
      <c r="A12" s="14" t="s">
        <v>64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15" t="str">
        <f aca="false">IF(COUNT(B12:K12)=10,((B12+D12+F12+H12+J12-5)+(25-(C12+E12+G12+I12+K12)))*2.5,"")</f>
        <v/>
      </c>
    </row>
    <row r="13" customFormat="false" ht="15" hidden="false" customHeight="false" outlineLevel="0" collapsed="false">
      <c r="A13" s="14" t="s">
        <v>65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15" t="str">
        <f aca="false">IF(COUNT(B13:K13)=10,((B13+D13+F13+H13+J13-5)+(25-(C13+E13+G13+I13+K13)))*2.5,"")</f>
        <v/>
      </c>
    </row>
    <row r="14" customFormat="false" ht="15" hidden="false" customHeight="false" outlineLevel="0" collapsed="false">
      <c r="A14" s="14" t="s">
        <v>66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15" t="str">
        <f aca="false">IF(COUNT(B14:K14)=10,((B14+D14+F14+H14+J14-5)+(25-(C14+E14+G14+I14+K14)))*2.5,"")</f>
        <v/>
      </c>
    </row>
    <row r="15" customFormat="false" ht="15" hidden="false" customHeight="false" outlineLevel="0" collapsed="false">
      <c r="A15" s="14" t="s">
        <v>67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15" t="str">
        <f aca="false">IF(COUNT(B15:K15)=10,((B15+D15+F15+H15+J15-5)+(25-(C15+E15+G15+I15+K15)))*2.5,"")</f>
        <v/>
      </c>
    </row>
    <row r="17" customFormat="false" ht="15" hidden="false" customHeight="false" outlineLevel="0" collapsed="false">
      <c r="A17" s="8" t="s">
        <v>68</v>
      </c>
      <c r="C17" s="10" t="n">
        <f aca="false">COUNT(L6:L15)</f>
        <v>0</v>
      </c>
    </row>
    <row r="18" customFormat="false" ht="15" hidden="false" customHeight="false" outlineLevel="0" collapsed="false">
      <c r="A18" s="8" t="s">
        <v>69</v>
      </c>
      <c r="C18" s="16" t="str">
        <f aca="false">IFERROR(AVERAGE(L6:L15),"")</f>
        <v/>
      </c>
    </row>
    <row r="19" customFormat="false" ht="15" hidden="false" customHeight="false" outlineLevel="0" collapsed="false">
      <c r="A19" s="8" t="s">
        <v>70</v>
      </c>
      <c r="C19" s="8" t="str">
        <f aca="false">IF(C18="","",IF(C18&gt;=68,"At or above the 68 average","Below the 68 average"))</f>
        <v/>
      </c>
    </row>
    <row r="21" customFormat="false" ht="31.5" hidden="false" customHeight="true" outlineLevel="0" collapsed="false">
      <c r="A21" s="2" t="s">
        <v>71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</sheetData>
  <mergeCells count="2">
    <mergeCell ref="A2:L2"/>
    <mergeCell ref="A21:L21"/>
  </mergeCells>
  <dataValidations count="1">
    <dataValidation allowBlank="true" error="Enter a whole number from 1 to 5." errorStyle="stop" errorTitle="Invalid answer" operator="between" showDropDown="false" showErrorMessage="false" showInputMessage="false" sqref="B6:K15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2026-10-19T12:47:34Z</dcterms:created>
  <dc:creator>openpyxl</dc:creator>
  <dc:description/>
  <dc:language>en-US</dc:language>
  <cp:lastModifiedBy/>
  <dcterms:modified xsi:type="dcterms:W3CDTF">2026-10-19T12:47:34Z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